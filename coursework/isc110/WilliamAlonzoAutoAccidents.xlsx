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onzo\Desktop\"/>
    </mc:Choice>
  </mc:AlternateContent>
  <bookViews>
    <workbookView xWindow="0" yWindow="0" windowWidth="28800" windowHeight="12435"/>
  </bookViews>
  <sheets>
    <sheet name="Sheet1" sheetId="1" r:id="rId1"/>
  </sheets>
  <definedNames>
    <definedName name="ExternalData_1" localSheetId="0">Sheet1!$B$2:$F$19</definedName>
    <definedName name="ExternalData_2" localSheetId="0">Sheet1!$B$2:$E$21</definedName>
  </definedNames>
  <calcPr calcId="152511"/>
</workbook>
</file>

<file path=xl/calcChain.xml><?xml version="1.0" encoding="utf-8"?>
<calcChain xmlns="http://schemas.openxmlformats.org/spreadsheetml/2006/main">
  <c r="N4" i="1" l="1"/>
  <c r="M4" i="1"/>
  <c r="L4" i="1"/>
  <c r="L3" i="1"/>
  <c r="N3" i="1"/>
  <c r="M3" i="1"/>
  <c r="G21" i="1"/>
  <c r="I21" i="1"/>
  <c r="H21" i="1"/>
  <c r="F21" i="1"/>
  <c r="E21" i="1"/>
  <c r="D21" i="1"/>
  <c r="C21" i="1"/>
  <c r="B21" i="1"/>
</calcChain>
</file>

<file path=xl/connections.xml><?xml version="1.0" encoding="utf-8"?>
<connections xmlns="http://schemas.openxmlformats.org/spreadsheetml/2006/main">
  <connection id="1" name="Connection" type="4" refreshedVersion="1" background="1" saveData="1">
    <webPr sourceData="1" parsePre="1" consecutive="1" xl2000="1" url="http://www.state.hi.us/dot/publicaffairs/safecommunities/crashstats/alcohol.htm" htmlTables="1">
      <tables count="1">
        <x v="4"/>
      </tables>
    </webPr>
  </connection>
</connections>
</file>

<file path=xl/sharedStrings.xml><?xml version="1.0" encoding="utf-8"?>
<sst xmlns="http://schemas.openxmlformats.org/spreadsheetml/2006/main" count="20" uniqueCount="15">
  <si>
    <t>Alcohol</t>
  </si>
  <si>
    <t>Injury</t>
  </si>
  <si>
    <t>No Alcohol</t>
  </si>
  <si>
    <t>Damage</t>
  </si>
  <si>
    <t>Year</t>
  </si>
  <si>
    <t>TABLE 1</t>
  </si>
  <si>
    <t>TABLE 2</t>
  </si>
  <si>
    <t>Fatality</t>
  </si>
  <si>
    <t xml:space="preserve"> Fatality</t>
  </si>
  <si>
    <t xml:space="preserve">Damage </t>
  </si>
  <si>
    <t>Total:</t>
  </si>
  <si>
    <t>Numbers</t>
  </si>
  <si>
    <t>STATE-WIDE MAJOR TRAFFIC ACCIDENTS for 2014</t>
  </si>
  <si>
    <t>All Accidents</t>
  </si>
  <si>
    <t>DUI-Related Accidents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</si>
</sst>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39"/>
      </top>
      <bottom/>
      <diagonal/>
    </border>
    <border>
      <left/>
      <right style="thick">
        <color indexed="39"/>
      </right>
      <top style="thick">
        <color indexed="39"/>
      </top>
      <bottom/>
      <diagonal/>
    </border>
    <border>
      <left/>
      <right style="thick">
        <color indexed="39"/>
      </right>
      <top/>
      <bottom/>
      <diagonal/>
    </border>
    <border>
      <left/>
      <right/>
      <top/>
      <bottom style="thick">
        <color indexed="39"/>
      </bottom>
      <diagonal/>
    </border>
    <border>
      <left/>
      <right style="thick">
        <color indexed="39"/>
      </right>
      <top/>
      <bottom style="thick">
        <color indexed="39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3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3" fontId="0" fillId="2" borderId="1" xfId="0" applyNumberForma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textRotation="75"/>
    </xf>
    <xf numFmtId="0" fontId="2" fillId="0" borderId="0" xfId="0" applyFont="1" applyAlignment="1">
      <alignment horizontal="center" textRotation="75"/>
    </xf>
    <xf numFmtId="0" fontId="0" fillId="0" borderId="0" xfId="0" applyAlignment="1" applyProtection="1">
      <protection locked="0"/>
    </xf>
    <xf numFmtId="0" fontId="0" fillId="0" borderId="0" xfId="0" applyAlignment="1" applyProtection="1">
      <alignment wrapText="1"/>
      <protection locked="0"/>
    </xf>
    <xf numFmtId="3" fontId="0" fillId="0" borderId="0" xfId="0" applyNumberFormat="1" applyAlignment="1" applyProtection="1">
      <protection locked="0"/>
    </xf>
    <xf numFmtId="0" fontId="0" fillId="0" borderId="0" xfId="0" applyAlignment="1" applyProtection="1">
      <alignment wrapText="1"/>
    </xf>
    <xf numFmtId="0" fontId="0" fillId="0" borderId="0" xfId="0" applyBorder="1"/>
    <xf numFmtId="0" fontId="1" fillId="2" borderId="2" xfId="0" applyFont="1" applyFill="1" applyBorder="1" applyAlignment="1" applyProtection="1">
      <protection locked="0"/>
    </xf>
    <xf numFmtId="0" fontId="0" fillId="0" borderId="0" xfId="0" applyBorder="1" applyAlignment="1">
      <alignment wrapText="1"/>
    </xf>
    <xf numFmtId="3" fontId="0" fillId="0" borderId="0" xfId="0" applyNumberFormat="1" applyBorder="1"/>
    <xf numFmtId="3" fontId="0" fillId="0" borderId="0" xfId="0" applyNumberFormat="1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0" fontId="0" fillId="0" borderId="7" xfId="0" applyBorder="1"/>
    <xf numFmtId="3" fontId="1" fillId="0" borderId="0" xfId="0" applyNumberFormat="1" applyFont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3" fontId="0" fillId="0" borderId="0" xfId="0" applyNumberFormat="1" applyBorder="1" applyAlignment="1" applyProtection="1">
      <alignment wrapText="1"/>
    </xf>
    <xf numFmtId="3" fontId="0" fillId="0" borderId="11" xfId="0" applyNumberFormat="1" applyBorder="1"/>
    <xf numFmtId="3" fontId="0" fillId="0" borderId="12" xfId="0" applyNumberFormat="1" applyBorder="1" applyAlignment="1" applyProtection="1">
      <alignment wrapText="1"/>
    </xf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3" fontId="0" fillId="0" borderId="0" xfId="0" applyNumberFormat="1" applyBorder="1" applyAlignment="1" applyProtection="1">
      <alignment wrapText="1"/>
      <protection locked="0"/>
    </xf>
    <xf numFmtId="3" fontId="0" fillId="0" borderId="12" xfId="0" applyNumberFormat="1" applyBorder="1"/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 applyProtection="1">
      <protection locked="0"/>
    </xf>
    <xf numFmtId="0" fontId="1" fillId="3" borderId="0" xfId="0" applyFont="1" applyFill="1" applyBorder="1" applyAlignment="1" applyProtection="1">
      <alignment wrapText="1"/>
    </xf>
    <xf numFmtId="0" fontId="1" fillId="3" borderId="12" xfId="0" applyFont="1" applyFill="1" applyBorder="1" applyAlignment="1" applyProtection="1">
      <alignment wrapText="1"/>
    </xf>
    <xf numFmtId="0" fontId="1" fillId="3" borderId="0" xfId="0" applyFont="1" applyFill="1" applyBorder="1" applyAlignment="1" applyProtection="1">
      <alignment wrapText="1"/>
      <protection locked="0"/>
    </xf>
    <xf numFmtId="0" fontId="1" fillId="3" borderId="12" xfId="0" applyFont="1" applyFill="1" applyBorder="1" applyAlignment="1" applyProtection="1">
      <alignment wrapText="1"/>
      <protection locked="0"/>
    </xf>
    <xf numFmtId="3" fontId="0" fillId="2" borderId="2" xfId="0" applyNumberForma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Alcohol</a:t>
            </a:r>
            <a:r>
              <a:rPr lang="en-US" baseline="0"/>
              <a:t> vs Non-Alcohol Related Accidents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Alcohol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(Sheet1!$L$2:$N$2,Sheet1!$L$4,Sheet1!$M$4,Sheet1!$N$4,Sheet1!$M$3,Sheet1!$N$3,Sheet1!$N$2)</c:f>
              <c:strCache>
                <c:ptCount val="9"/>
                <c:pt idx="0">
                  <c:v>Fatality</c:v>
                </c:pt>
                <c:pt idx="1">
                  <c:v>Injury</c:v>
                </c:pt>
                <c:pt idx="2">
                  <c:v>Damage</c:v>
                </c:pt>
                <c:pt idx="3">
                  <c:v>1,601</c:v>
                </c:pt>
                <c:pt idx="4">
                  <c:v>124,983</c:v>
                </c:pt>
                <c:pt idx="5">
                  <c:v>155,521</c:v>
                </c:pt>
                <c:pt idx="6">
                  <c:v>132,206</c:v>
                </c:pt>
                <c:pt idx="7">
                  <c:v>161,274</c:v>
                </c:pt>
                <c:pt idx="8">
                  <c:v>Damage</c:v>
                </c:pt>
              </c:strCache>
            </c:strRef>
          </c:cat>
          <c:val>
            <c:numRef>
              <c:f>Sheet1!$L$3:$N$3</c:f>
              <c:numCache>
                <c:formatCode>#,##0</c:formatCode>
                <c:ptCount val="3"/>
                <c:pt idx="0">
                  <c:v>343</c:v>
                </c:pt>
                <c:pt idx="1">
                  <c:v>132206</c:v>
                </c:pt>
                <c:pt idx="2">
                  <c:v>161274</c:v>
                </c:pt>
              </c:numCache>
            </c:numRef>
          </c:val>
        </c:ser>
        <c:ser>
          <c:idx val="1"/>
          <c:order val="1"/>
          <c:tx>
            <c:strRef>
              <c:f>Sheet1!$K$4</c:f>
              <c:strCache>
                <c:ptCount val="1"/>
                <c:pt idx="0">
                  <c:v>No Alcohol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(Sheet1!$L$2:$N$2,Sheet1!$L$4,Sheet1!$M$4,Sheet1!$N$4,Sheet1!$M$3,Sheet1!$N$3,Sheet1!$N$2)</c:f>
              <c:strCache>
                <c:ptCount val="9"/>
                <c:pt idx="0">
                  <c:v>Fatality</c:v>
                </c:pt>
                <c:pt idx="1">
                  <c:v>Injury</c:v>
                </c:pt>
                <c:pt idx="2">
                  <c:v>Damage</c:v>
                </c:pt>
                <c:pt idx="3">
                  <c:v>1,601</c:v>
                </c:pt>
                <c:pt idx="4">
                  <c:v>124,983</c:v>
                </c:pt>
                <c:pt idx="5">
                  <c:v>155,521</c:v>
                </c:pt>
                <c:pt idx="6">
                  <c:v>132,206</c:v>
                </c:pt>
                <c:pt idx="7">
                  <c:v>161,274</c:v>
                </c:pt>
                <c:pt idx="8">
                  <c:v>Damage</c:v>
                </c:pt>
              </c:strCache>
            </c:strRef>
          </c:cat>
          <c:val>
            <c:numRef>
              <c:f>Sheet1!$L$4:$N$4</c:f>
              <c:numCache>
                <c:formatCode>#,##0</c:formatCode>
                <c:ptCount val="3"/>
                <c:pt idx="0">
                  <c:v>1601</c:v>
                </c:pt>
                <c:pt idx="1">
                  <c:v>124983</c:v>
                </c:pt>
                <c:pt idx="2">
                  <c:v>155521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70"/>
        <c:shape val="box"/>
        <c:axId val="247967808"/>
        <c:axId val="247966632"/>
        <c:axId val="0"/>
      </c:bar3DChart>
      <c:catAx>
        <c:axId val="24796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66632"/>
        <c:crosses val="autoZero"/>
        <c:auto val="1"/>
        <c:lblAlgn val="ctr"/>
        <c:lblOffset val="100"/>
        <c:noMultiLvlLbl val="0"/>
      </c:catAx>
      <c:valAx>
        <c:axId val="247966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6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27878</xdr:colOff>
      <xdr:row>4</xdr:row>
      <xdr:rowOff>18586</xdr:rowOff>
    </xdr:from>
    <xdr:to>
      <xdr:col>13</xdr:col>
      <xdr:colOff>738767</xdr:colOff>
      <xdr:row>20</xdr:row>
      <xdr:rowOff>157048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2" growShrinkType="overwriteCle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tabSelected="1" zoomScale="160" zoomScaleNormal="160" workbookViewId="0">
      <selection activeCell="O6" sqref="O6"/>
    </sheetView>
  </sheetViews>
  <sheetFormatPr defaultColWidth="9.7109375" defaultRowHeight="12.75" x14ac:dyDescent="0.2"/>
  <cols>
    <col min="1" max="2" width="9.28515625" customWidth="1"/>
    <col min="3" max="5" width="9.28515625" style="11" customWidth="1"/>
    <col min="6" max="6" width="9.28515625" customWidth="1"/>
    <col min="7" max="7" width="9.28515625" style="9" customWidth="1"/>
    <col min="8" max="9" width="9.28515625" customWidth="1"/>
    <col min="10" max="10" width="5.5703125" customWidth="1"/>
    <col min="11" max="11" width="11" customWidth="1"/>
    <col min="12" max="12" width="10.85546875" customWidth="1"/>
    <col min="13" max="13" width="8.42578125" customWidth="1"/>
    <col min="14" max="14" width="11.140625" bestFit="1" customWidth="1"/>
  </cols>
  <sheetData>
    <row r="1" spans="1:14" ht="13.5" customHeight="1" x14ac:dyDescent="0.2">
      <c r="A1" s="2" t="s">
        <v>5</v>
      </c>
      <c r="K1" s="2" t="s">
        <v>6</v>
      </c>
    </row>
    <row r="2" spans="1:14" s="7" customFormat="1" ht="13.5" customHeight="1" thickBot="1" x14ac:dyDescent="0.25">
      <c r="B2" s="25" t="s">
        <v>12</v>
      </c>
      <c r="C2" s="24"/>
      <c r="D2" s="24"/>
      <c r="E2" s="24"/>
      <c r="F2" s="24"/>
      <c r="G2" s="24"/>
      <c r="H2" s="24"/>
      <c r="I2" s="24"/>
      <c r="K2" s="5"/>
      <c r="L2" s="5" t="s">
        <v>7</v>
      </c>
      <c r="M2" s="5" t="s">
        <v>1</v>
      </c>
      <c r="N2" s="5" t="s">
        <v>3</v>
      </c>
    </row>
    <row r="3" spans="1:14" s="6" customFormat="1" ht="13.5" customHeight="1" thickTop="1" x14ac:dyDescent="0.2">
      <c r="B3" s="34" t="s">
        <v>13</v>
      </c>
      <c r="C3" s="35"/>
      <c r="D3" s="35"/>
      <c r="E3" s="36"/>
      <c r="F3" s="34" t="s">
        <v>14</v>
      </c>
      <c r="G3" s="35"/>
      <c r="H3" s="35"/>
      <c r="I3" s="36"/>
      <c r="K3" s="3" t="s">
        <v>0</v>
      </c>
      <c r="L3" s="4">
        <f>$G$21</f>
        <v>343</v>
      </c>
      <c r="M3" s="4">
        <f>$D$21</f>
        <v>132206</v>
      </c>
      <c r="N3" s="4">
        <f>$E$21</f>
        <v>161274</v>
      </c>
    </row>
    <row r="4" spans="1:14" s="8" customFormat="1" ht="13.5" customHeight="1" thickBot="1" x14ac:dyDescent="0.25">
      <c r="A4" s="8" t="s">
        <v>4</v>
      </c>
      <c r="B4" s="37" t="s">
        <v>11</v>
      </c>
      <c r="C4" s="38" t="s">
        <v>8</v>
      </c>
      <c r="D4" s="38" t="s">
        <v>1</v>
      </c>
      <c r="E4" s="39" t="s">
        <v>9</v>
      </c>
      <c r="F4" s="37" t="s">
        <v>11</v>
      </c>
      <c r="G4" s="40" t="s">
        <v>7</v>
      </c>
      <c r="H4" s="40" t="s">
        <v>1</v>
      </c>
      <c r="I4" s="41" t="s">
        <v>3</v>
      </c>
      <c r="J4" s="10"/>
      <c r="K4" s="13" t="s">
        <v>2</v>
      </c>
      <c r="L4" s="42">
        <f>C21-G21</f>
        <v>1601</v>
      </c>
      <c r="M4" s="42">
        <f>D21-H21</f>
        <v>124983</v>
      </c>
      <c r="N4" s="42">
        <f>E21-I21</f>
        <v>155521</v>
      </c>
    </row>
    <row r="5" spans="1:14" ht="13.5" customHeight="1" thickTop="1" x14ac:dyDescent="0.2">
      <c r="A5">
        <v>1986</v>
      </c>
      <c r="B5" s="27">
        <v>20844</v>
      </c>
      <c r="C5" s="26">
        <v>108</v>
      </c>
      <c r="D5" s="26">
        <v>7814</v>
      </c>
      <c r="E5" s="28">
        <v>12922</v>
      </c>
      <c r="F5" s="27">
        <v>987</v>
      </c>
      <c r="G5" s="32">
        <v>26</v>
      </c>
      <c r="H5" s="15">
        <v>516</v>
      </c>
      <c r="I5" s="33">
        <v>445</v>
      </c>
      <c r="J5" s="17"/>
      <c r="K5" s="17"/>
      <c r="L5" s="17"/>
      <c r="M5" s="17"/>
      <c r="N5" s="18"/>
    </row>
    <row r="6" spans="1:14" ht="13.5" customHeight="1" x14ac:dyDescent="0.2">
      <c r="A6">
        <v>1987</v>
      </c>
      <c r="B6" s="27">
        <v>23625</v>
      </c>
      <c r="C6" s="26">
        <v>126</v>
      </c>
      <c r="D6" s="26">
        <v>8624</v>
      </c>
      <c r="E6" s="28">
        <v>14875</v>
      </c>
      <c r="F6" s="27">
        <v>1051</v>
      </c>
      <c r="G6" s="32">
        <v>35</v>
      </c>
      <c r="H6" s="15">
        <v>520</v>
      </c>
      <c r="I6" s="33">
        <v>496</v>
      </c>
      <c r="J6" s="12"/>
      <c r="K6" s="12"/>
      <c r="L6" s="12"/>
      <c r="M6" s="12"/>
      <c r="N6" s="19"/>
    </row>
    <row r="7" spans="1:14" ht="13.5" customHeight="1" x14ac:dyDescent="0.2">
      <c r="A7">
        <v>1988</v>
      </c>
      <c r="B7" s="27">
        <v>26072</v>
      </c>
      <c r="C7" s="26">
        <v>129</v>
      </c>
      <c r="D7" s="26">
        <v>8963</v>
      </c>
      <c r="E7" s="28">
        <v>16980</v>
      </c>
      <c r="F7" s="27">
        <v>1103</v>
      </c>
      <c r="G7" s="32">
        <v>27</v>
      </c>
      <c r="H7" s="15">
        <v>519</v>
      </c>
      <c r="I7" s="33">
        <v>557</v>
      </c>
      <c r="J7" s="12"/>
      <c r="K7" s="12"/>
      <c r="L7" s="12"/>
      <c r="M7" s="12"/>
      <c r="N7" s="19"/>
    </row>
    <row r="8" spans="1:14" ht="13.5" customHeight="1" x14ac:dyDescent="0.2">
      <c r="A8">
        <v>1989</v>
      </c>
      <c r="B8" s="27">
        <v>26894</v>
      </c>
      <c r="C8" s="26">
        <v>127</v>
      </c>
      <c r="D8" s="26">
        <v>8888</v>
      </c>
      <c r="E8" s="28">
        <v>17879</v>
      </c>
      <c r="F8" s="27">
        <v>1018</v>
      </c>
      <c r="G8" s="32">
        <v>26</v>
      </c>
      <c r="H8" s="15">
        <v>497</v>
      </c>
      <c r="I8" s="33">
        <v>495</v>
      </c>
      <c r="J8" s="12"/>
      <c r="K8" s="14"/>
      <c r="L8" s="12"/>
      <c r="M8" s="15"/>
      <c r="N8" s="20"/>
    </row>
    <row r="9" spans="1:14" ht="13.5" customHeight="1" x14ac:dyDescent="0.2">
      <c r="A9">
        <v>1990</v>
      </c>
      <c r="B9" s="27">
        <v>26640</v>
      </c>
      <c r="C9" s="26">
        <v>154</v>
      </c>
      <c r="D9" s="26">
        <v>9745</v>
      </c>
      <c r="E9" s="28">
        <v>16741</v>
      </c>
      <c r="F9" s="27">
        <v>1215</v>
      </c>
      <c r="G9" s="32">
        <v>31</v>
      </c>
      <c r="H9" s="15">
        <v>595</v>
      </c>
      <c r="I9" s="33">
        <v>589</v>
      </c>
      <c r="J9" s="12"/>
      <c r="K9" s="12"/>
      <c r="L9" s="16"/>
      <c r="M9" s="15"/>
      <c r="N9" s="20"/>
    </row>
    <row r="10" spans="1:14" ht="13.5" customHeight="1" x14ac:dyDescent="0.2">
      <c r="A10">
        <v>1991</v>
      </c>
      <c r="B10" s="27">
        <v>21840</v>
      </c>
      <c r="C10" s="26">
        <v>119</v>
      </c>
      <c r="D10" s="26">
        <v>9046</v>
      </c>
      <c r="E10" s="28">
        <v>12675</v>
      </c>
      <c r="F10" s="27">
        <v>957</v>
      </c>
      <c r="G10" s="32">
        <v>33</v>
      </c>
      <c r="H10" s="15">
        <v>496</v>
      </c>
      <c r="I10" s="33">
        <v>428</v>
      </c>
      <c r="J10" s="12"/>
      <c r="K10" s="12"/>
      <c r="L10" s="15"/>
      <c r="M10" s="15"/>
      <c r="N10" s="20"/>
    </row>
    <row r="11" spans="1:14" ht="13.5" customHeight="1" x14ac:dyDescent="0.2">
      <c r="A11">
        <v>1992</v>
      </c>
      <c r="B11" s="27">
        <v>21835</v>
      </c>
      <c r="C11" s="26">
        <v>121</v>
      </c>
      <c r="D11" s="26">
        <v>9359</v>
      </c>
      <c r="E11" s="28">
        <v>12355</v>
      </c>
      <c r="F11" s="27">
        <v>847</v>
      </c>
      <c r="G11" s="32">
        <v>21</v>
      </c>
      <c r="H11" s="15">
        <v>439</v>
      </c>
      <c r="I11" s="33">
        <v>387</v>
      </c>
      <c r="J11" s="12"/>
      <c r="K11" s="12"/>
      <c r="L11" s="12"/>
      <c r="M11" s="12"/>
      <c r="N11" s="19"/>
    </row>
    <row r="12" spans="1:14" ht="13.5" customHeight="1" x14ac:dyDescent="0.2">
      <c r="A12">
        <v>1993</v>
      </c>
      <c r="B12" s="27">
        <v>21471</v>
      </c>
      <c r="C12" s="26">
        <v>110</v>
      </c>
      <c r="D12" s="26">
        <v>9564</v>
      </c>
      <c r="E12" s="28">
        <v>11786</v>
      </c>
      <c r="F12" s="27">
        <v>853</v>
      </c>
      <c r="G12" s="32">
        <v>29</v>
      </c>
      <c r="H12" s="15">
        <v>461</v>
      </c>
      <c r="I12" s="33">
        <v>363</v>
      </c>
      <c r="J12" s="12"/>
      <c r="K12" s="12"/>
      <c r="L12" s="12"/>
      <c r="M12" s="12"/>
      <c r="N12" s="19"/>
    </row>
    <row r="13" spans="1:14" ht="13.5" customHeight="1" x14ac:dyDescent="0.2">
      <c r="A13">
        <v>1994</v>
      </c>
      <c r="B13" s="27">
        <v>19851</v>
      </c>
      <c r="C13" s="26">
        <v>118</v>
      </c>
      <c r="D13" s="26">
        <v>9172</v>
      </c>
      <c r="E13" s="28">
        <v>10569</v>
      </c>
      <c r="F13" s="27">
        <v>773</v>
      </c>
      <c r="G13" s="32">
        <v>16</v>
      </c>
      <c r="H13" s="15">
        <v>416</v>
      </c>
      <c r="I13" s="33">
        <v>341</v>
      </c>
      <c r="J13" s="12"/>
      <c r="K13" s="12"/>
      <c r="L13" s="12"/>
      <c r="M13" s="12"/>
      <c r="N13" s="19"/>
    </row>
    <row r="14" spans="1:14" ht="13.5" customHeight="1" x14ac:dyDescent="0.2">
      <c r="A14">
        <v>1995</v>
      </c>
      <c r="B14" s="27">
        <v>16581</v>
      </c>
      <c r="C14" s="26">
        <v>132</v>
      </c>
      <c r="D14" s="26">
        <v>8939</v>
      </c>
      <c r="E14" s="28">
        <v>7524</v>
      </c>
      <c r="F14" s="27">
        <v>686</v>
      </c>
      <c r="G14" s="32">
        <v>12</v>
      </c>
      <c r="H14" s="15">
        <v>412</v>
      </c>
      <c r="I14" s="33">
        <v>262</v>
      </c>
      <c r="J14" s="12"/>
      <c r="K14" s="12"/>
      <c r="L14" s="12"/>
      <c r="M14" s="12"/>
      <c r="N14" s="19"/>
    </row>
    <row r="15" spans="1:14" ht="13.5" customHeight="1" x14ac:dyDescent="0.2">
      <c r="A15">
        <v>1996</v>
      </c>
      <c r="B15" s="27">
        <v>13285</v>
      </c>
      <c r="C15" s="26">
        <v>117</v>
      </c>
      <c r="D15" s="26">
        <v>7913</v>
      </c>
      <c r="E15" s="28">
        <v>5240</v>
      </c>
      <c r="F15" s="27">
        <v>655</v>
      </c>
      <c r="G15" s="32">
        <v>17</v>
      </c>
      <c r="H15" s="15">
        <v>408</v>
      </c>
      <c r="I15" s="33">
        <v>230</v>
      </c>
      <c r="J15" s="12"/>
      <c r="K15" s="12"/>
      <c r="L15" s="12"/>
      <c r="M15" s="12"/>
      <c r="N15" s="19"/>
    </row>
    <row r="16" spans="1:14" ht="13.5" customHeight="1" x14ac:dyDescent="0.2">
      <c r="A16">
        <v>1997</v>
      </c>
      <c r="B16" s="27">
        <v>12445</v>
      </c>
      <c r="C16" s="26">
        <v>131</v>
      </c>
      <c r="D16" s="26">
        <v>7642</v>
      </c>
      <c r="E16" s="28">
        <v>4686</v>
      </c>
      <c r="F16" s="27">
        <v>633</v>
      </c>
      <c r="G16" s="32">
        <v>9</v>
      </c>
      <c r="H16" s="15">
        <v>387</v>
      </c>
      <c r="I16" s="33">
        <v>237</v>
      </c>
      <c r="J16" s="12"/>
      <c r="K16" s="12"/>
      <c r="L16" s="12"/>
      <c r="M16" s="12"/>
      <c r="N16" s="19"/>
    </row>
    <row r="17" spans="1:14" ht="13.5" customHeight="1" x14ac:dyDescent="0.2">
      <c r="A17">
        <v>1998</v>
      </c>
      <c r="B17" s="27">
        <v>11542</v>
      </c>
      <c r="C17" s="26">
        <v>113</v>
      </c>
      <c r="D17" s="26">
        <v>7016</v>
      </c>
      <c r="E17" s="28">
        <v>4413</v>
      </c>
      <c r="F17" s="27">
        <v>744</v>
      </c>
      <c r="G17" s="32">
        <v>17</v>
      </c>
      <c r="H17" s="15">
        <v>457</v>
      </c>
      <c r="I17" s="33">
        <v>270</v>
      </c>
      <c r="J17" s="12"/>
      <c r="K17" s="12"/>
      <c r="L17" s="12"/>
      <c r="M17" s="12"/>
      <c r="N17" s="19"/>
    </row>
    <row r="18" spans="1:14" ht="13.5" customHeight="1" x14ac:dyDescent="0.2">
      <c r="A18">
        <v>1999</v>
      </c>
      <c r="B18" s="27">
        <v>10567</v>
      </c>
      <c r="C18" s="26">
        <v>90</v>
      </c>
      <c r="D18" s="26">
        <v>6570</v>
      </c>
      <c r="E18" s="28">
        <v>3907</v>
      </c>
      <c r="F18" s="27">
        <v>676</v>
      </c>
      <c r="G18" s="32">
        <v>12</v>
      </c>
      <c r="H18" s="15">
        <v>408</v>
      </c>
      <c r="I18" s="33">
        <v>256</v>
      </c>
      <c r="J18" s="12"/>
      <c r="K18" s="12"/>
      <c r="L18" s="12"/>
      <c r="M18" s="12"/>
      <c r="N18" s="19"/>
    </row>
    <row r="19" spans="1:14" s="1" customFormat="1" ht="13.5" customHeight="1" x14ac:dyDescent="0.2">
      <c r="A19">
        <v>2000</v>
      </c>
      <c r="B19" s="27">
        <v>11074</v>
      </c>
      <c r="C19" s="26">
        <v>116</v>
      </c>
      <c r="D19" s="26">
        <v>6826</v>
      </c>
      <c r="E19" s="28">
        <v>4132</v>
      </c>
      <c r="F19" s="27">
        <v>651</v>
      </c>
      <c r="G19" s="32">
        <v>15</v>
      </c>
      <c r="H19" s="15">
        <v>422</v>
      </c>
      <c r="I19" s="33">
        <v>214</v>
      </c>
      <c r="J19" s="15"/>
      <c r="K19" s="15"/>
      <c r="L19" s="15"/>
      <c r="M19" s="15"/>
      <c r="N19" s="20"/>
    </row>
    <row r="20" spans="1:14" ht="13.5" customHeight="1" x14ac:dyDescent="0.2">
      <c r="A20">
        <v>2001</v>
      </c>
      <c r="B20" s="27">
        <v>10848</v>
      </c>
      <c r="C20" s="26">
        <v>133</v>
      </c>
      <c r="D20" s="26">
        <v>6125</v>
      </c>
      <c r="E20" s="28">
        <v>4590</v>
      </c>
      <c r="F20" s="27">
        <v>470</v>
      </c>
      <c r="G20" s="32">
        <v>17</v>
      </c>
      <c r="H20" s="15">
        <v>270</v>
      </c>
      <c r="I20" s="33">
        <v>183</v>
      </c>
      <c r="J20" s="12"/>
      <c r="K20" s="12"/>
      <c r="L20" s="12"/>
      <c r="M20" s="12"/>
      <c r="N20" s="19"/>
    </row>
    <row r="21" spans="1:14" ht="13.5" customHeight="1" thickBot="1" x14ac:dyDescent="0.25">
      <c r="A21" s="23" t="s">
        <v>10</v>
      </c>
      <c r="B21" s="29">
        <f>SUM(B5:B20)</f>
        <v>295414</v>
      </c>
      <c r="C21" s="30">
        <f t="shared" ref="C21:I21" si="0">SUM(C5:C20)</f>
        <v>1944</v>
      </c>
      <c r="D21" s="30">
        <f t="shared" si="0"/>
        <v>132206</v>
      </c>
      <c r="E21" s="31">
        <f t="shared" si="0"/>
        <v>161274</v>
      </c>
      <c r="F21" s="29">
        <f t="shared" si="0"/>
        <v>13319</v>
      </c>
      <c r="G21" s="30">
        <f t="shared" si="0"/>
        <v>343</v>
      </c>
      <c r="H21" s="30">
        <f t="shared" si="0"/>
        <v>7223</v>
      </c>
      <c r="I21" s="31">
        <f t="shared" si="0"/>
        <v>5753</v>
      </c>
      <c r="J21" s="21"/>
      <c r="K21" s="21"/>
      <c r="L21" s="21"/>
      <c r="M21" s="21"/>
      <c r="N21" s="22"/>
    </row>
    <row r="22" spans="1:14" ht="13.5" thickTop="1" x14ac:dyDescent="0.2"/>
  </sheetData>
  <sortState ref="A5:I20">
    <sortCondition ref="A5"/>
  </sortState>
  <dataConsolidate/>
  <mergeCells count="3">
    <mergeCell ref="B2:I2"/>
    <mergeCell ref="B3:E3"/>
    <mergeCell ref="F3:I3"/>
  </mergeCells>
  <phoneticPr fontId="0" type="noConversion"/>
  <pageMargins left="1" right="1" top="1" bottom="1" header="0.5" footer="0.5"/>
  <pageSetup scale="89" orientation="landscape" r:id="rId1"/>
  <headerFooter alignWithMargins="0">
    <oddHeader>&amp;LWilliam Alonzo&amp;R&amp;D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Sheet1!ExternalData_1</vt:lpstr>
      <vt:lpstr>Sheet1!ExternalData_2</vt:lpstr>
    </vt:vector>
  </TitlesOfParts>
  <Company>University of Hawaii - Windward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TempBT</dc:creator>
  <cp:lastModifiedBy>cts-user</cp:lastModifiedBy>
  <cp:lastPrinted>2016-03-31T14:23:00Z</cp:lastPrinted>
  <dcterms:created xsi:type="dcterms:W3CDTF">2003-03-21T20:36:37Z</dcterms:created>
  <dcterms:modified xsi:type="dcterms:W3CDTF">2016-03-31T14:32:15Z</dcterms:modified>
</cp:coreProperties>
</file>